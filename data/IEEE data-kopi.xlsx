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qiu/Desktop/Data/"/>
    </mc:Choice>
  </mc:AlternateContent>
  <xr:revisionPtr revIDLastSave="0" documentId="13_ncr:1_{800A5690-A95D-C647-8DAF-3CCBA6C33947}" xr6:coauthVersionLast="47" xr6:coauthVersionMax="47" xr10:uidLastSave="{00000000-0000-0000-0000-000000000000}"/>
  <bookViews>
    <workbookView xWindow="2400" yWindow="1320" windowWidth="27840" windowHeight="16640" xr2:uid="{F4FEE6A4-FA8E-7547-8E38-9370C713332F}"/>
  </bookViews>
  <sheets>
    <sheet name="Ark1" sheetId="1" r:id="rId1"/>
  </sheets>
  <definedNames>
    <definedName name="IEEE118_Data_Gen_1_1" localSheetId="0">'Ark1'!$A$1:$A$54</definedName>
    <definedName name="IEEE118_Data_Gen_1_1_1" localSheetId="0">'Ark1'!$A$1:$A$54</definedName>
    <definedName name="IEEE118_Data_Gen_1_1_1_1" localSheetId="0">'Ark1'!$A$1:$A$54</definedName>
    <definedName name="IEEE118_Data_Gen_1_1_1_1_1" localSheetId="0">'Ark1'!$A$1:$A$54</definedName>
    <definedName name="IEEE118_Data_Gen_1_1_1_2" localSheetId="0">'Ark1'!$A$1:$A$54</definedName>
    <definedName name="IEEE118_Data_Gen_1_1_1_2_1" localSheetId="0">'Ark1'!$A$1:$A$54</definedName>
    <definedName name="IEEE118_Data_Gen_1_1_1_3" localSheetId="0">'Ark1'!$A$1:$A$54</definedName>
    <definedName name="IEEE118_Data_Gen_1_1_2" localSheetId="0">'Ark1'!$A$1:$A$54</definedName>
    <definedName name="IEEE118_Data_Gen_1_1_2_1" localSheetId="0">'Ark1'!$A$1:$A$54</definedName>
    <definedName name="IEEE118_Data_Gen_1_1_2_1_1" localSheetId="0">'Ark1'!$A$1:$A$54</definedName>
    <definedName name="IEEE118_Data_Gen_1_1_2_2" localSheetId="0">'Ark1'!$A$1:$A$54</definedName>
    <definedName name="IEEE118_Data_Gen_1_1_2_2_1" localSheetId="0">'Ark1'!$A$1:$A$54</definedName>
    <definedName name="IEEE118_Data_Gen_1_1_2_3" localSheetId="0">'Ark1'!$A$1:$A$54</definedName>
    <definedName name="IEEE118_Data_Gen_1_1_3" localSheetId="0">'Ark1'!$A$1:$A$54</definedName>
    <definedName name="IEEE118_Data_Gen_1_1_3_1" localSheetId="0">'Ark1'!$A$1:$A$54</definedName>
    <definedName name="IEEE118_Data_Gen_1_1_4" localSheetId="0">'Ark1'!$A$1:$A$54</definedName>
    <definedName name="IEEE118_Data_Gen_1_2" localSheetId="0">'Ark1'!$A$1:$A$54</definedName>
    <definedName name="IEEE118_Data_Gen_1_2_1" localSheetId="0">'Ark1'!$A$1:$A$54</definedName>
    <definedName name="IEEE118_Data_Gen_1_2_1_1" localSheetId="0">'Ark1'!$A$1:$A$54</definedName>
    <definedName name="IEEE118_Data_Gen_1_2_2" localSheetId="0">'Ark1'!$A$1:$A$54</definedName>
    <definedName name="IEEE118_Data_Gen_1_2_2_1" localSheetId="0">'Ark1'!$A$1:$A$54</definedName>
    <definedName name="IEEE118_Data_Gen_1_2_3" localSheetId="0">'Ark1'!$A$1:$A$54</definedName>
    <definedName name="IEEE118_Data_Gen_1_3" localSheetId="0">'Ark1'!$A$1:$A$54</definedName>
    <definedName name="IEEE118_Data_Gen_1_3_1" localSheetId="0">'Ark1'!$A$1:$A$54</definedName>
    <definedName name="IEEE118_Data_Gen_1_4" localSheetId="0">'Ark1'!$A$1:$A$54</definedName>
    <definedName name="IEEE118_Data_Gen_1_4_1" localSheetId="0">'Ark1'!$A$1:$A$54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2" i="1"/>
  <c r="F1" i="1"/>
  <c r="Q6" i="1"/>
  <c r="Q5" i="1"/>
  <c r="Q4" i="1"/>
  <c r="Q3" i="1"/>
  <c r="Q2" i="1"/>
  <c r="Q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93B95A-C59A-6042-BF62-D63EBC4B944D}" name="IEEE118_Data_Gen1" type="6" refreshedVersion="8" background="1" saveData="1">
    <textPr sourceFile="/Users/carolineqiu/Desktop/IEEE118_Data_Gen.txt" decimal="," thousands="." tab="0">
      <textFields>
        <textField/>
      </textFields>
    </textPr>
  </connection>
  <connection id="2" xr16:uid="{6F6191AB-D680-2849-B881-7628416848DF}" name="IEEE118_Data_Gen11" type="6" refreshedVersion="8" background="1" saveData="1">
    <textPr sourceFile="/Users/carolineqiu/Desktop/IEEE118_Data_Gen.txt" decimal="," thousands="." tab="0">
      <textFields>
        <textField/>
      </textFields>
    </textPr>
  </connection>
  <connection id="3" xr16:uid="{5C8736B2-3F3F-D84F-85AA-1AE495B12740}" name="IEEE118_Data_Gen111" type="6" refreshedVersion="8" background="1" saveData="1">
    <textPr sourceFile="/Users/carolineqiu/Desktop/IEEE118_Data_Gen.txt" decimal="," thousands="." tab="0">
      <textFields>
        <textField/>
      </textFields>
    </textPr>
  </connection>
  <connection id="4" xr16:uid="{ACB8E4B6-B048-6F44-99A0-5AD152B388A3}" name="IEEE118_Data_Gen1111" type="6" refreshedVersion="8" background="1" saveData="1">
    <textPr sourceFile="/Users/carolineqiu/Desktop/IEEE118_Data_Gen.txt" decimal="," thousands="." tab="0">
      <textFields>
        <textField/>
      </textFields>
    </textPr>
  </connection>
  <connection id="5" xr16:uid="{D2783D31-F85F-B54B-A416-31B9481813E3}" name="IEEE118_Data_Gen11111" type="6" refreshedVersion="8" background="1" saveData="1">
    <textPr sourceFile="/Users/carolineqiu/Desktop/IEEE118_Data_Gen.txt" decimal="," thousands="." tab="0">
      <textFields>
        <textField/>
      </textFields>
    </textPr>
  </connection>
  <connection id="6" xr16:uid="{79646EE4-A964-164C-8F65-AF1C1EB4E0A0}" name="IEEE118_Data_Gen1112" type="6" refreshedVersion="8" background="1" saveData="1">
    <textPr sourceFile="/Users/carolineqiu/Desktop/IEEE118_Data_Gen.txt" decimal="," thousands="." tab="0">
      <textFields>
        <textField/>
      </textFields>
    </textPr>
  </connection>
  <connection id="7" xr16:uid="{EB73C001-5081-0443-B297-0E3249103DDD}" name="IEEE118_Data_Gen112" type="6" refreshedVersion="8" background="1" saveData="1">
    <textPr sourceFile="/Users/carolineqiu/Desktop/IEEE118_Data_Gen.txt" decimal="," thousands="." tab="0">
      <textFields>
        <textField/>
      </textFields>
    </textPr>
  </connection>
  <connection id="8" xr16:uid="{C7777BE4-1F25-F140-8048-C96DA6621538}" name="IEEE118_Data_Gen1121" type="6" refreshedVersion="8" background="1" saveData="1">
    <textPr sourceFile="/Users/carolineqiu/Desktop/IEEE118_Data_Gen.txt" decimal="," thousands="." tab="0">
      <textFields>
        <textField/>
      </textFields>
    </textPr>
  </connection>
  <connection id="9" xr16:uid="{C3DB636A-DC75-F94E-8C43-C40A56471283}" name="IEEE118_Data_Gen113" type="6" refreshedVersion="8" background="1" saveData="1">
    <textPr sourceFile="/Users/carolineqiu/Desktop/IEEE118_Data_Gen.txt" decimal="," thousands="." tab="0">
      <textFields>
        <textField/>
      </textFields>
    </textPr>
  </connection>
  <connection id="10" xr16:uid="{01048855-98A7-514C-886D-0F335962DEB7}" name="IEEE118_Data_Gen1131" type="6" refreshedVersion="8" background="1" saveData="1">
    <textPr sourceFile="/Users/carolineqiu/Desktop/IEEE118_Data_Gen.txt" decimal="," thousands="." tab="0">
      <textFields>
        <textField/>
      </textFields>
    </textPr>
  </connection>
  <connection id="11" xr16:uid="{19A0BADA-9C8F-3A4A-8675-717843860570}" name="IEEE118_Data_Gen114" type="6" refreshedVersion="8" background="1" saveData="1">
    <textPr sourceFile="/Users/carolineqiu/Desktop/IEEE118_Data_Gen.txt" decimal="," thousands="." tab="0">
      <textFields>
        <textField/>
      </textFields>
    </textPr>
  </connection>
  <connection id="12" xr16:uid="{6BCF8A40-4761-E344-B3D2-0930AC1E3093}" name="IEEE118_Data_Gen12" type="6" refreshedVersion="8" background="1" saveData="1">
    <textPr sourceFile="/Users/carolineqiu/Desktop/IEEE118_Data_Gen.txt" decimal="," thousands="." tab="0">
      <textFields>
        <textField/>
      </textFields>
    </textPr>
  </connection>
  <connection id="13" xr16:uid="{4711D51B-6FFE-1048-A3F9-6B34D0F0CA25}" name="IEEE118_Data_Gen121" type="6" refreshedVersion="8" background="1" saveData="1">
    <textPr sourceFile="/Users/carolineqiu/Desktop/IEEE118_Data_Gen.txt" decimal="," thousands="." tab="0">
      <textFields>
        <textField/>
      </textFields>
    </textPr>
  </connection>
  <connection id="14" xr16:uid="{9F12A222-2C27-E241-82F9-4D93A1570A4C}" name="IEEE118_Data_Gen1211" type="6" refreshedVersion="8" background="1" saveData="1">
    <textPr sourceFile="/Users/carolineqiu/Desktop/IEEE118_Data_Gen.txt" decimal="," thousands="." tab="0">
      <textFields>
        <textField/>
      </textFields>
    </textPr>
  </connection>
  <connection id="15" xr16:uid="{C30F7B55-EE8B-3F44-B8C1-C315BE3B1BCB}" name="IEEE118_Data_Gen122" type="6" refreshedVersion="8" background="1" saveData="1">
    <textPr sourceFile="/Users/carolineqiu/Desktop/IEEE118_Data_Gen.txt" decimal="," thousands="." tab="0">
      <textFields>
        <textField/>
      </textFields>
    </textPr>
  </connection>
  <connection id="16" xr16:uid="{449E1781-D108-9745-86B5-810B60BD13E9}" name="IEEE118_Data_Gen1221" type="6" refreshedVersion="8" background="1" saveData="1">
    <textPr sourceFile="/Users/carolineqiu/Desktop/IEEE118_Data_Gen.txt" decimal="," thousands="." tab="0">
      <textFields>
        <textField/>
      </textFields>
    </textPr>
  </connection>
  <connection id="17" xr16:uid="{BA454D57-5FAC-4C43-A82C-46D01B5D25A8}" name="IEEE118_Data_Gen123" type="6" refreshedVersion="8" background="1" saveData="1">
    <textPr sourceFile="/Users/carolineqiu/Desktop/IEEE118_Data_Gen.txt" decimal="," thousands="." tab="0">
      <textFields>
        <textField/>
      </textFields>
    </textPr>
  </connection>
  <connection id="18" xr16:uid="{FFB48FF2-5683-7748-A63B-2AFCE06A5797}" name="IEEE118_Data_Gen13" type="6" refreshedVersion="8" background="1" saveData="1">
    <textPr sourceFile="/Users/carolineqiu/Desktop/IEEE118_Data_Gen.txt" decimal="," thousands="." tab="0">
      <textFields>
        <textField/>
      </textFields>
    </textPr>
  </connection>
  <connection id="19" xr16:uid="{83FA408B-3005-C443-938B-F113F80E36A1}" name="IEEE118_Data_Gen131" type="6" refreshedVersion="8" background="1" saveData="1">
    <textPr sourceFile="/Users/carolineqiu/Desktop/IEEE118_Data_Gen.txt" decimal="," thousands="." tab="0">
      <textFields>
        <textField/>
      </textFields>
    </textPr>
  </connection>
  <connection id="20" xr16:uid="{4585CEE2-3CB0-E54D-A226-8DFEBC7189A7}" name="IEEE118_Data_Gen1311" type="6" refreshedVersion="8" background="1" saveData="1">
    <textPr sourceFile="/Users/carolineqiu/Desktop/IEEE118_Data_Gen.txt" decimal="," thousands="." tab="0">
      <textFields>
        <textField/>
      </textFields>
    </textPr>
  </connection>
  <connection id="21" xr16:uid="{F88122BE-C5A3-974D-BEC2-006C74A9DADE}" name="IEEE118_Data_Gen132" type="6" refreshedVersion="8" background="1" saveData="1">
    <textPr sourceFile="/Users/carolineqiu/Desktop/IEEE118_Data_Gen.txt" decimal="," thousands="." tab="0">
      <textFields>
        <textField/>
      </textFields>
    </textPr>
  </connection>
  <connection id="22" xr16:uid="{1F99DCB0-B58A-3A42-870D-BA394131FFA7}" name="IEEE118_Data_Gen14" type="6" refreshedVersion="8" background="1" saveData="1">
    <textPr sourceFile="/Users/carolineqiu/Desktop/IEEE118_Data_Gen.txt" decimal="," thousands="." tab="0">
      <textFields>
        <textField/>
      </textFields>
    </textPr>
  </connection>
  <connection id="23" xr16:uid="{DDD36C8E-5CDB-4A44-B1FD-54B56D77D637}" name="IEEE118_Data_Gen141" type="6" refreshedVersion="8" background="1" saveData="1">
    <textPr sourceFile="/Users/carolineqiu/Desktop/IEEE118_Data_Gen.txt" decimal="," thousands="." tab="0">
      <textFields>
        <textField/>
      </textFields>
    </textPr>
  </connection>
  <connection id="24" xr16:uid="{53A1C7C3-2AC4-7642-8B89-298A144D1B3F}" name="IEEE118_Data_Gen15" type="6" refreshedVersion="8" background="1" saveData="1">
    <textPr sourceFile="/Users/carolineqiu/Desktop/IEEE118_Data_Gen.txt" decimal="," thousands="." tab="0">
      <textFields>
        <textField/>
      </textFields>
    </textPr>
  </connection>
  <connection id="25" xr16:uid="{5CDE9779-6B41-6E43-8CA7-3042A6E9C3C6}" name="IEEE118_Data_Gen151" type="6" refreshedVersion="8" background="1" saveData="1">
    <textPr sourceFile="/Users/carolineqiu/Desktop/IEEE118_Data_Gen.txt" decimal="," thousands="." tab="0">
      <textFields>
        <textField/>
      </textFields>
    </textPr>
  </connection>
  <connection id="26" xr16:uid="{D77E043E-FF30-0D44-A61A-06C14EA47E09}" name="IEEE118_Data_Gen16" type="6" refreshedVersion="8" background="1" saveData="1">
    <textPr sourceFile="/Users/carolineqiu/Desktop/IEEE118_Data_Gen.txt" decimal="," thousands="." tab="0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rgb="FF0000FF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1_3" connectionId="11" xr16:uid="{5C6D8E50-E69E-7D4D-85A6-8E5D4E9E66B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2_1_1" connectionId="21" xr16:uid="{F469B6C1-5A4D-3C41-BB27-40F7296314C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2_2" connectionId="15" xr16:uid="{D5F86DC7-1B87-6E42-A775-0BD58C8B814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3" connectionId="9" xr16:uid="{0F7117F2-E65C-CC4C-A141-21220ECCE1F5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1" connectionId="2" xr16:uid="{87199382-936F-0640-BB7F-704C10DFF7E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2" connectionId="7" xr16:uid="{F2B27778-6A84-0C48-9337-91943451A353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2_1" connectionId="13" xr16:uid="{2CA8FD55-A4DA-7D44-B9ED-58C4397598C3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4" connectionId="26" xr16:uid="{853EB88B-F9A2-9D4B-83F4-645A0B87BFFF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3_1" connectionId="10" xr16:uid="{A73DBDE8-0D6D-DD4A-B37B-EEA0697A09FA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2_1_1" connectionId="14" xr16:uid="{4AFE5EA0-674D-3C43-BDF3-914B9A09E076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2_3" connectionId="17" xr16:uid="{83159F12-B521-FF4C-ADF9-FDA001A4AC31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2_2_1" connectionId="20" xr16:uid="{6CE03232-1C3B-4B48-9796-0B8DE2CFBB48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2_2_1" connectionId="16" xr16:uid="{CFE8CCB6-3A4E-FA47-9116-87EDBA3F2056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" connectionId="1" xr16:uid="{5864612B-7297-604A-A213-67F39DD55D56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2_1" connectionId="18" xr16:uid="{9B76DEED-99D7-F547-BACD-B6C51D866A16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2_3" connectionId="8" xr16:uid="{6C3242DF-316C-084B-AB4B-8690C1BB79E1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2_2" connectionId="19" xr16:uid="{9CC0B2C2-5927-854E-872A-3F0BF72676F2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2" connectionId="12" xr16:uid="{D5AC160C-E286-014C-9CDC-B9A5269602D3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3" connectionId="22" xr16:uid="{5B15823E-0E62-CE4F-AA5B-FBA8BFC9A30E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1_2" connectionId="4" xr16:uid="{7A3D3600-AEC0-C747-9CA0-54D823F76378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1_1_1" connectionId="6" xr16:uid="{25AB8AE3-C8C4-9A44-842F-694A521E14E8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4" connectionId="24" xr16:uid="{847A7763-4186-2B47-9A70-258865A94E7B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1_1" connectionId="3" xr16:uid="{3EBCD949-6B93-4C48-A759-4AAD86B46B94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4_1" connectionId="25" xr16:uid="{E1F1F81A-C08B-864B-AAAD-E1ED1686D1A5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3_1" connectionId="23" xr16:uid="{3B915795-39AF-2946-A72F-C0E7C528FEDE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EE118_Data_Gen_1_1_1_2_1" connectionId="5" xr16:uid="{A7538B4C-361F-7744-84DE-9EE7F3238DD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" Type="http://schemas.openxmlformats.org/officeDocument/2006/relationships/queryTable" Target="../queryTables/queryTable3.xml"/><Relationship Id="rId21" Type="http://schemas.openxmlformats.org/officeDocument/2006/relationships/queryTable" Target="../queryTables/queryTable21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0" Type="http://schemas.openxmlformats.org/officeDocument/2006/relationships/queryTable" Target="../queryTables/queryTable20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05CA-E819-DA43-A3F1-5D9904750476}">
  <dimension ref="A1:T54"/>
  <sheetViews>
    <sheetView tabSelected="1" zoomScaleNormal="75" workbookViewId="0">
      <selection activeCell="H18" sqref="H18"/>
    </sheetView>
  </sheetViews>
  <sheetFormatPr baseColWidth="10" defaultRowHeight="16"/>
  <cols>
    <col min="10" max="10" width="10.83203125" style="2"/>
  </cols>
  <sheetData>
    <row r="1" spans="1:20">
      <c r="A1" s="2">
        <v>61</v>
      </c>
      <c r="B1" s="2">
        <v>100</v>
      </c>
      <c r="C1" s="2">
        <v>400</v>
      </c>
      <c r="D1" s="2">
        <v>8.3391000000000002</v>
      </c>
      <c r="E1" s="2">
        <v>64.16</v>
      </c>
      <c r="F1" s="2">
        <f>3*G1</f>
        <v>750</v>
      </c>
      <c r="G1" s="2">
        <v>250</v>
      </c>
      <c r="H1" s="2">
        <f>0.1*G1</f>
        <v>25</v>
      </c>
      <c r="I1" s="2">
        <v>9</v>
      </c>
      <c r="J1" s="2">
        <v>9</v>
      </c>
      <c r="K1" s="2">
        <v>210</v>
      </c>
      <c r="L1" s="2">
        <v>210</v>
      </c>
      <c r="M1" s="2">
        <v>420</v>
      </c>
      <c r="N1" s="2">
        <v>420</v>
      </c>
      <c r="O1" s="2">
        <v>9</v>
      </c>
      <c r="P1" s="2">
        <v>5</v>
      </c>
      <c r="Q1" s="2">
        <f>MIN(J1,2)</f>
        <v>2</v>
      </c>
      <c r="R1" s="2">
        <v>0</v>
      </c>
    </row>
    <row r="2" spans="1:20">
      <c r="A2" s="2">
        <v>64</v>
      </c>
      <c r="B2" s="2">
        <v>100</v>
      </c>
      <c r="C2" s="2">
        <v>400</v>
      </c>
      <c r="D2" s="2">
        <v>8.3391000000000002</v>
      </c>
      <c r="E2" s="2">
        <v>64.16</v>
      </c>
      <c r="F2" s="2">
        <f>6*G2</f>
        <v>4500</v>
      </c>
      <c r="G2" s="2">
        <v>750</v>
      </c>
      <c r="H2" s="2">
        <f t="shared" ref="H2:H54" si="0">0.1*G2</f>
        <v>75</v>
      </c>
      <c r="I2" s="2">
        <v>9</v>
      </c>
      <c r="J2" s="2">
        <v>9</v>
      </c>
      <c r="K2" s="2">
        <v>210</v>
      </c>
      <c r="L2" s="2">
        <v>210</v>
      </c>
      <c r="M2" s="2">
        <v>420</v>
      </c>
      <c r="N2" s="2">
        <v>420</v>
      </c>
      <c r="O2" s="2">
        <v>9</v>
      </c>
      <c r="P2" s="2">
        <v>5</v>
      </c>
      <c r="Q2" s="2">
        <f t="shared" ref="Q2:Q6" si="1">MIN(J2,2)</f>
        <v>2</v>
      </c>
      <c r="R2" s="2">
        <v>0</v>
      </c>
      <c r="T2" s="1"/>
    </row>
    <row r="3" spans="1:20">
      <c r="A3" s="2">
        <v>24</v>
      </c>
      <c r="B3" s="2">
        <v>100</v>
      </c>
      <c r="C3" s="2">
        <v>420</v>
      </c>
      <c r="D3" s="2">
        <v>10.76</v>
      </c>
      <c r="E3" s="2">
        <v>32.96</v>
      </c>
      <c r="F3" s="2">
        <f t="shared" ref="F3:F54" si="2">6*G3</f>
        <v>1800</v>
      </c>
      <c r="G3" s="2">
        <v>300</v>
      </c>
      <c r="H3" s="2">
        <f t="shared" si="0"/>
        <v>30</v>
      </c>
      <c r="I3" s="2">
        <v>8</v>
      </c>
      <c r="J3" s="2">
        <v>8</v>
      </c>
      <c r="K3" s="2">
        <v>175</v>
      </c>
      <c r="L3" s="2">
        <v>175</v>
      </c>
      <c r="M3" s="2">
        <v>350</v>
      </c>
      <c r="N3" s="2">
        <v>350</v>
      </c>
      <c r="O3" s="2">
        <v>9</v>
      </c>
      <c r="P3" s="2">
        <v>5</v>
      </c>
      <c r="Q3" s="2">
        <f t="shared" si="1"/>
        <v>2</v>
      </c>
      <c r="R3" s="2">
        <v>0</v>
      </c>
      <c r="T3" s="1"/>
    </row>
    <row r="4" spans="1:20">
      <c r="A4" s="2">
        <v>7</v>
      </c>
      <c r="B4" s="2">
        <v>100</v>
      </c>
      <c r="C4" s="2">
        <v>420</v>
      </c>
      <c r="D4" s="2">
        <v>12.887499999999999</v>
      </c>
      <c r="E4" s="2">
        <v>6.78</v>
      </c>
      <c r="F4" s="2">
        <f t="shared" si="2"/>
        <v>1980</v>
      </c>
      <c r="G4" s="2">
        <v>330</v>
      </c>
      <c r="H4" s="2">
        <f t="shared" si="0"/>
        <v>33</v>
      </c>
      <c r="I4" s="2">
        <v>8</v>
      </c>
      <c r="J4" s="2">
        <v>8</v>
      </c>
      <c r="K4" s="2">
        <v>150</v>
      </c>
      <c r="L4" s="2">
        <v>150</v>
      </c>
      <c r="M4" s="2">
        <v>300</v>
      </c>
      <c r="N4" s="2">
        <v>300</v>
      </c>
      <c r="O4" s="2">
        <v>9</v>
      </c>
      <c r="P4" s="2">
        <v>5</v>
      </c>
      <c r="Q4" s="2">
        <f t="shared" si="1"/>
        <v>2</v>
      </c>
      <c r="R4" s="2">
        <v>0</v>
      </c>
      <c r="T4" s="1"/>
    </row>
    <row r="5" spans="1:20">
      <c r="A5" s="2">
        <v>7</v>
      </c>
      <c r="B5" s="2">
        <v>12</v>
      </c>
      <c r="C5" s="2">
        <v>30</v>
      </c>
      <c r="D5" s="2">
        <v>12.887499999999999</v>
      </c>
      <c r="E5" s="2">
        <v>27.12</v>
      </c>
      <c r="F5" s="2">
        <f t="shared" si="2"/>
        <v>360</v>
      </c>
      <c r="G5" s="2">
        <v>60</v>
      </c>
      <c r="H5" s="2">
        <f t="shared" si="0"/>
        <v>6</v>
      </c>
      <c r="I5" s="2">
        <v>8</v>
      </c>
      <c r="J5" s="2">
        <v>8</v>
      </c>
      <c r="K5" s="2">
        <v>150</v>
      </c>
      <c r="L5" s="2">
        <v>150</v>
      </c>
      <c r="M5" s="2">
        <v>300</v>
      </c>
      <c r="N5" s="2">
        <v>300</v>
      </c>
      <c r="O5" s="2">
        <v>9</v>
      </c>
      <c r="P5" s="2">
        <v>5</v>
      </c>
      <c r="Q5" s="2">
        <f t="shared" si="1"/>
        <v>2</v>
      </c>
      <c r="R5" s="2">
        <v>4</v>
      </c>
      <c r="T5" s="1"/>
    </row>
    <row r="6" spans="1:20">
      <c r="A6" s="2">
        <v>23</v>
      </c>
      <c r="B6" s="2">
        <v>10</v>
      </c>
      <c r="C6" s="2">
        <v>40</v>
      </c>
      <c r="D6" s="2">
        <v>12.887499999999999</v>
      </c>
      <c r="E6" s="2">
        <v>27.12</v>
      </c>
      <c r="F6" s="2">
        <f t="shared" si="2"/>
        <v>450</v>
      </c>
      <c r="G6" s="2">
        <v>75</v>
      </c>
      <c r="H6" s="2">
        <f t="shared" si="0"/>
        <v>7.5</v>
      </c>
      <c r="I6" s="2">
        <v>8</v>
      </c>
      <c r="J6" s="2">
        <v>8</v>
      </c>
      <c r="K6" s="2">
        <v>150</v>
      </c>
      <c r="L6" s="2">
        <v>150</v>
      </c>
      <c r="M6" s="2">
        <v>300</v>
      </c>
      <c r="N6" s="2">
        <v>300</v>
      </c>
      <c r="O6" s="2">
        <v>9</v>
      </c>
      <c r="P6" s="2">
        <v>5</v>
      </c>
      <c r="Q6" s="2">
        <f t="shared" si="1"/>
        <v>2</v>
      </c>
      <c r="R6" s="2">
        <v>3</v>
      </c>
      <c r="T6" s="1"/>
    </row>
    <row r="7" spans="1:20">
      <c r="A7" s="2">
        <v>65</v>
      </c>
      <c r="B7" s="2">
        <v>10</v>
      </c>
      <c r="C7" s="2">
        <v>20</v>
      </c>
      <c r="D7" s="2">
        <v>12.887499999999999</v>
      </c>
      <c r="E7" s="2">
        <v>27.12</v>
      </c>
      <c r="F7" s="2">
        <f t="shared" si="2"/>
        <v>450</v>
      </c>
      <c r="G7" s="2">
        <v>75</v>
      </c>
      <c r="H7" s="2">
        <f t="shared" si="0"/>
        <v>7.5</v>
      </c>
      <c r="I7" s="2">
        <v>2</v>
      </c>
      <c r="J7" s="2">
        <v>2</v>
      </c>
      <c r="K7" s="2">
        <v>150</v>
      </c>
      <c r="L7" s="2">
        <v>150</v>
      </c>
      <c r="M7" s="2">
        <v>300</v>
      </c>
      <c r="N7" s="2">
        <v>300</v>
      </c>
      <c r="O7" s="2">
        <v>9</v>
      </c>
      <c r="P7" s="2">
        <v>5</v>
      </c>
      <c r="Q7" s="2">
        <v>2</v>
      </c>
      <c r="R7" s="2">
        <v>6</v>
      </c>
      <c r="T7" s="1"/>
    </row>
    <row r="8" spans="1:20">
      <c r="A8" s="2">
        <v>76</v>
      </c>
      <c r="B8" s="2">
        <v>20</v>
      </c>
      <c r="C8" s="2">
        <v>50</v>
      </c>
      <c r="D8" s="2">
        <v>12.887499999999999</v>
      </c>
      <c r="E8" s="2">
        <v>27.12</v>
      </c>
      <c r="F8" s="2">
        <f t="shared" si="2"/>
        <v>360</v>
      </c>
      <c r="G8" s="2">
        <v>60</v>
      </c>
      <c r="H8" s="2">
        <f t="shared" si="0"/>
        <v>6</v>
      </c>
      <c r="I8" s="2">
        <v>1</v>
      </c>
      <c r="J8" s="2">
        <v>1</v>
      </c>
      <c r="K8" s="2">
        <v>150</v>
      </c>
      <c r="L8" s="2">
        <v>150</v>
      </c>
      <c r="M8" s="2">
        <v>300</v>
      </c>
      <c r="N8" s="2">
        <v>300</v>
      </c>
      <c r="O8" s="2">
        <v>9</v>
      </c>
      <c r="P8" s="2">
        <v>5</v>
      </c>
      <c r="Q8" s="2">
        <v>2</v>
      </c>
      <c r="R8" s="2">
        <v>0</v>
      </c>
      <c r="T8" s="1"/>
    </row>
    <row r="9" spans="1:20">
      <c r="A9" s="2">
        <v>60</v>
      </c>
      <c r="B9" s="2">
        <v>25</v>
      </c>
      <c r="C9" s="2">
        <v>40</v>
      </c>
      <c r="D9" s="2">
        <v>17.82</v>
      </c>
      <c r="E9" s="2">
        <v>40.6</v>
      </c>
      <c r="F9" s="2">
        <f t="shared" si="2"/>
        <v>120</v>
      </c>
      <c r="G9" s="2">
        <v>20</v>
      </c>
      <c r="H9" s="2">
        <f t="shared" si="0"/>
        <v>2</v>
      </c>
      <c r="I9" s="2">
        <v>3</v>
      </c>
      <c r="J9" s="2">
        <v>3</v>
      </c>
      <c r="K9" s="2">
        <v>50</v>
      </c>
      <c r="L9" s="2">
        <v>50</v>
      </c>
      <c r="M9" s="2">
        <v>100</v>
      </c>
      <c r="N9" s="2">
        <v>100</v>
      </c>
      <c r="O9" s="2">
        <v>9</v>
      </c>
      <c r="P9" s="2">
        <v>5</v>
      </c>
      <c r="Q9" s="2">
        <v>2</v>
      </c>
      <c r="R9" s="2">
        <v>0</v>
      </c>
      <c r="T9" s="1"/>
    </row>
    <row r="10" spans="1:20">
      <c r="A10" s="2">
        <v>73</v>
      </c>
      <c r="B10" s="2">
        <v>25</v>
      </c>
      <c r="C10" s="2">
        <v>40</v>
      </c>
      <c r="D10" s="2">
        <v>17.82</v>
      </c>
      <c r="E10" s="2">
        <v>40.6</v>
      </c>
      <c r="F10" s="2">
        <f t="shared" si="2"/>
        <v>90</v>
      </c>
      <c r="G10" s="2">
        <v>15</v>
      </c>
      <c r="H10" s="2">
        <f t="shared" si="0"/>
        <v>1.5</v>
      </c>
      <c r="I10" s="2">
        <v>2</v>
      </c>
      <c r="J10" s="2">
        <v>2</v>
      </c>
      <c r="K10" s="2">
        <v>50</v>
      </c>
      <c r="L10" s="2">
        <v>50</v>
      </c>
      <c r="M10" s="2">
        <v>100</v>
      </c>
      <c r="N10" s="2">
        <v>100</v>
      </c>
      <c r="O10" s="2">
        <v>9</v>
      </c>
      <c r="P10" s="2">
        <v>5</v>
      </c>
      <c r="Q10" s="2">
        <v>2</v>
      </c>
      <c r="R10" s="2">
        <v>4</v>
      </c>
      <c r="T10" s="1"/>
    </row>
    <row r="11" spans="1:20">
      <c r="A11" s="2">
        <v>75</v>
      </c>
      <c r="B11" s="2">
        <v>25</v>
      </c>
      <c r="C11" s="2">
        <v>40</v>
      </c>
      <c r="D11" s="2">
        <v>17.82</v>
      </c>
      <c r="E11" s="2">
        <v>40.6</v>
      </c>
      <c r="F11" s="2">
        <f t="shared" si="2"/>
        <v>300</v>
      </c>
      <c r="G11" s="2">
        <v>50</v>
      </c>
      <c r="H11" s="2">
        <f t="shared" si="0"/>
        <v>5</v>
      </c>
      <c r="I11" s="2">
        <v>2</v>
      </c>
      <c r="J11" s="2">
        <v>5</v>
      </c>
      <c r="K11" s="2">
        <v>50</v>
      </c>
      <c r="L11" s="2">
        <v>50</v>
      </c>
      <c r="M11" s="2">
        <v>100</v>
      </c>
      <c r="N11" s="2">
        <v>100</v>
      </c>
      <c r="O11" s="2">
        <v>9</v>
      </c>
      <c r="P11" s="2">
        <v>5</v>
      </c>
      <c r="Q11" s="2">
        <v>2</v>
      </c>
      <c r="R11" s="2">
        <v>5</v>
      </c>
      <c r="T11" s="1"/>
    </row>
    <row r="12" spans="1:20">
      <c r="A12" s="2">
        <v>79</v>
      </c>
      <c r="B12" s="2">
        <v>15</v>
      </c>
      <c r="C12" s="2">
        <v>20</v>
      </c>
      <c r="D12" s="2">
        <v>17.82</v>
      </c>
      <c r="E12" s="2">
        <v>40.6</v>
      </c>
      <c r="F12" s="2">
        <f t="shared" si="2"/>
        <v>360</v>
      </c>
      <c r="G12" s="2">
        <v>60</v>
      </c>
      <c r="H12" s="2">
        <f t="shared" si="0"/>
        <v>6</v>
      </c>
      <c r="I12" s="2">
        <v>5</v>
      </c>
      <c r="J12" s="2">
        <v>5</v>
      </c>
      <c r="K12" s="2">
        <v>50</v>
      </c>
      <c r="L12" s="2">
        <v>50</v>
      </c>
      <c r="M12" s="2">
        <v>100</v>
      </c>
      <c r="N12" s="2">
        <v>100</v>
      </c>
      <c r="O12" s="2">
        <v>9</v>
      </c>
      <c r="P12" s="2">
        <v>5</v>
      </c>
      <c r="Q12" s="2">
        <v>2</v>
      </c>
      <c r="R12" s="2">
        <v>0</v>
      </c>
      <c r="T12" s="1"/>
    </row>
    <row r="13" spans="1:20">
      <c r="A13" s="2">
        <v>45</v>
      </c>
      <c r="B13" s="2">
        <v>10</v>
      </c>
      <c r="C13" s="2">
        <v>30</v>
      </c>
      <c r="D13" s="2">
        <v>12.3299</v>
      </c>
      <c r="E13" s="2">
        <v>112</v>
      </c>
      <c r="F13" s="2">
        <f t="shared" si="2"/>
        <v>180</v>
      </c>
      <c r="G13" s="2">
        <v>30</v>
      </c>
      <c r="H13" s="2">
        <f t="shared" si="0"/>
        <v>3</v>
      </c>
      <c r="I13" s="2">
        <v>2</v>
      </c>
      <c r="J13" s="2">
        <v>2</v>
      </c>
      <c r="K13" s="2">
        <v>125</v>
      </c>
      <c r="L13" s="2">
        <v>125</v>
      </c>
      <c r="M13" s="2">
        <v>250</v>
      </c>
      <c r="N13" s="2">
        <v>250</v>
      </c>
      <c r="O13" s="2">
        <v>9</v>
      </c>
      <c r="P13" s="2">
        <v>5</v>
      </c>
      <c r="Q13" s="2">
        <v>2</v>
      </c>
      <c r="R13" s="2">
        <v>4</v>
      </c>
    </row>
    <row r="14" spans="1:20">
      <c r="A14" s="2">
        <v>48</v>
      </c>
      <c r="B14" s="2">
        <v>10</v>
      </c>
      <c r="C14" s="2">
        <v>30</v>
      </c>
      <c r="D14" s="2">
        <v>12.3299</v>
      </c>
      <c r="E14" s="2">
        <v>112</v>
      </c>
      <c r="F14" s="2">
        <f t="shared" si="2"/>
        <v>180</v>
      </c>
      <c r="G14" s="2">
        <v>30</v>
      </c>
      <c r="H14" s="2">
        <f t="shared" si="0"/>
        <v>3</v>
      </c>
      <c r="I14" s="2">
        <v>1</v>
      </c>
      <c r="J14" s="2">
        <v>1</v>
      </c>
      <c r="K14" s="2">
        <v>125</v>
      </c>
      <c r="L14" s="2">
        <v>125</v>
      </c>
      <c r="M14" s="2">
        <v>250</v>
      </c>
      <c r="N14" s="2">
        <v>250</v>
      </c>
      <c r="O14" s="2">
        <v>9</v>
      </c>
      <c r="P14" s="2">
        <v>5</v>
      </c>
      <c r="Q14" s="2">
        <v>2</v>
      </c>
      <c r="R14" s="2">
        <v>5</v>
      </c>
    </row>
    <row r="15" spans="1:20" s="2" customFormat="1">
      <c r="A15" s="2">
        <v>55</v>
      </c>
      <c r="B15" s="2">
        <v>20</v>
      </c>
      <c r="C15" s="2">
        <v>40</v>
      </c>
      <c r="D15" s="2">
        <v>13.29</v>
      </c>
      <c r="E15" s="2">
        <v>156</v>
      </c>
      <c r="F15" s="2">
        <f t="shared" si="2"/>
        <v>180</v>
      </c>
      <c r="G15" s="2">
        <v>30</v>
      </c>
      <c r="H15" s="2">
        <f t="shared" si="0"/>
        <v>3</v>
      </c>
      <c r="I15" s="2">
        <v>8</v>
      </c>
      <c r="J15" s="2">
        <v>8</v>
      </c>
      <c r="K15" s="2">
        <v>100</v>
      </c>
      <c r="L15" s="2">
        <v>100</v>
      </c>
      <c r="M15" s="2">
        <v>200</v>
      </c>
      <c r="N15" s="2">
        <v>200</v>
      </c>
      <c r="O15" s="2">
        <v>9</v>
      </c>
      <c r="P15" s="2">
        <v>5</v>
      </c>
      <c r="Q15" s="2">
        <v>2</v>
      </c>
      <c r="R15" s="2">
        <v>0</v>
      </c>
    </row>
    <row r="16" spans="1:20" s="2" customFormat="1">
      <c r="A16" s="2">
        <v>58</v>
      </c>
      <c r="B16" s="2">
        <v>20</v>
      </c>
      <c r="C16" s="2">
        <v>39</v>
      </c>
      <c r="D16" s="2">
        <v>13.29</v>
      </c>
      <c r="E16" s="2">
        <v>156</v>
      </c>
      <c r="F16" s="2">
        <f t="shared" si="2"/>
        <v>180</v>
      </c>
      <c r="G16" s="2">
        <v>30</v>
      </c>
      <c r="H16" s="2">
        <f t="shared" si="0"/>
        <v>3</v>
      </c>
      <c r="I16" s="2">
        <v>9</v>
      </c>
      <c r="J16" s="2">
        <v>9</v>
      </c>
      <c r="K16" s="2">
        <v>100</v>
      </c>
      <c r="L16" s="2">
        <v>100</v>
      </c>
      <c r="M16" s="2">
        <v>200</v>
      </c>
      <c r="N16" s="2">
        <v>200</v>
      </c>
      <c r="O16" s="2">
        <v>9</v>
      </c>
      <c r="P16" s="2">
        <v>5</v>
      </c>
      <c r="Q16" s="2">
        <v>2</v>
      </c>
      <c r="R16" s="2">
        <v>7</v>
      </c>
    </row>
    <row r="17" spans="1:18" s="2" customFormat="1">
      <c r="A17" s="2">
        <v>88</v>
      </c>
      <c r="B17" s="2">
        <v>10</v>
      </c>
      <c r="C17" s="2">
        <v>30</v>
      </c>
      <c r="D17" s="2">
        <v>12.887499999999999</v>
      </c>
      <c r="E17" s="2">
        <v>27.12</v>
      </c>
      <c r="F17" s="2">
        <f t="shared" si="2"/>
        <v>900</v>
      </c>
      <c r="G17" s="2">
        <v>150</v>
      </c>
      <c r="H17" s="2">
        <f t="shared" si="0"/>
        <v>15</v>
      </c>
      <c r="I17" s="2">
        <v>8</v>
      </c>
      <c r="J17" s="2">
        <v>8</v>
      </c>
      <c r="K17" s="2">
        <v>100</v>
      </c>
      <c r="L17" s="2">
        <v>100</v>
      </c>
      <c r="M17" s="2">
        <v>200</v>
      </c>
      <c r="N17" s="2">
        <v>200</v>
      </c>
      <c r="O17" s="2">
        <v>9</v>
      </c>
      <c r="P17" s="2">
        <v>5</v>
      </c>
      <c r="Q17" s="2">
        <v>2</v>
      </c>
      <c r="R17" s="2">
        <v>0</v>
      </c>
    </row>
    <row r="18" spans="1:18" s="2" customFormat="1">
      <c r="A18" s="2">
        <v>14</v>
      </c>
      <c r="B18" s="2">
        <v>15</v>
      </c>
      <c r="C18" s="2">
        <v>20</v>
      </c>
      <c r="D18" s="2">
        <v>17.82</v>
      </c>
      <c r="E18" s="2">
        <v>40.6</v>
      </c>
      <c r="F18" s="2">
        <f t="shared" si="2"/>
        <v>300</v>
      </c>
      <c r="G18" s="2">
        <v>50</v>
      </c>
      <c r="H18" s="2">
        <f t="shared" si="0"/>
        <v>5</v>
      </c>
      <c r="I18" s="2">
        <v>2</v>
      </c>
      <c r="J18" s="2">
        <v>2</v>
      </c>
      <c r="K18" s="2">
        <v>50</v>
      </c>
      <c r="L18" s="2">
        <v>50</v>
      </c>
      <c r="M18" s="2">
        <v>100</v>
      </c>
      <c r="N18" s="2">
        <v>100</v>
      </c>
      <c r="O18" s="2">
        <v>9</v>
      </c>
      <c r="P18" s="2">
        <v>5</v>
      </c>
      <c r="Q18" s="2">
        <v>2</v>
      </c>
      <c r="R18" s="2">
        <v>8</v>
      </c>
    </row>
    <row r="19" spans="1:18" s="2" customFormat="1">
      <c r="A19" s="2">
        <v>30</v>
      </c>
      <c r="B19" s="2">
        <v>25</v>
      </c>
      <c r="C19" s="2">
        <v>40</v>
      </c>
      <c r="D19" s="2">
        <v>17.82</v>
      </c>
      <c r="E19" s="2">
        <v>40.6</v>
      </c>
      <c r="F19" s="2">
        <f t="shared" si="2"/>
        <v>120</v>
      </c>
      <c r="G19" s="2">
        <v>20</v>
      </c>
      <c r="H19" s="2">
        <f t="shared" si="0"/>
        <v>2</v>
      </c>
      <c r="I19" s="2">
        <v>3</v>
      </c>
      <c r="J19" s="2">
        <v>3</v>
      </c>
      <c r="K19" s="2">
        <v>50</v>
      </c>
      <c r="L19" s="2">
        <v>50</v>
      </c>
      <c r="M19" s="2">
        <v>100</v>
      </c>
      <c r="N19" s="2">
        <v>100</v>
      </c>
      <c r="O19" s="2">
        <v>9</v>
      </c>
      <c r="P19" s="2">
        <v>5</v>
      </c>
      <c r="Q19" s="2">
        <v>2</v>
      </c>
      <c r="R19" s="2">
        <v>0</v>
      </c>
    </row>
    <row r="20" spans="1:18" s="2" customFormat="1">
      <c r="A20" s="2">
        <v>33</v>
      </c>
      <c r="B20" s="2">
        <v>25</v>
      </c>
      <c r="C20" s="2">
        <v>40</v>
      </c>
      <c r="D20" s="2">
        <v>17.82</v>
      </c>
      <c r="E20" s="2">
        <v>40.6</v>
      </c>
      <c r="F20" s="2">
        <f t="shared" si="2"/>
        <v>120</v>
      </c>
      <c r="G20" s="2">
        <v>20</v>
      </c>
      <c r="H20" s="2">
        <f t="shared" si="0"/>
        <v>2</v>
      </c>
      <c r="I20" s="2">
        <v>5</v>
      </c>
      <c r="J20" s="2">
        <v>5</v>
      </c>
      <c r="K20" s="2">
        <v>50</v>
      </c>
      <c r="L20" s="2">
        <v>50</v>
      </c>
      <c r="M20" s="2">
        <v>100</v>
      </c>
      <c r="N20" s="2">
        <v>100</v>
      </c>
      <c r="O20" s="2">
        <v>9</v>
      </c>
      <c r="P20" s="2">
        <v>5</v>
      </c>
      <c r="Q20" s="2">
        <v>2</v>
      </c>
      <c r="R20" s="2">
        <v>3</v>
      </c>
    </row>
    <row r="21" spans="1:18">
      <c r="A21" s="2">
        <v>41</v>
      </c>
      <c r="B21" s="2">
        <v>25</v>
      </c>
      <c r="C21" s="2">
        <v>40</v>
      </c>
      <c r="D21" s="2">
        <v>17.82</v>
      </c>
      <c r="E21" s="2">
        <v>40.6</v>
      </c>
      <c r="F21" s="2">
        <f t="shared" si="2"/>
        <v>138</v>
      </c>
      <c r="G21" s="2">
        <v>23</v>
      </c>
      <c r="H21" s="2">
        <f t="shared" si="0"/>
        <v>2.3000000000000003</v>
      </c>
      <c r="I21" s="2">
        <v>3</v>
      </c>
      <c r="J21" s="2">
        <v>5</v>
      </c>
      <c r="K21" s="2">
        <v>50</v>
      </c>
      <c r="L21" s="2">
        <v>50</v>
      </c>
      <c r="M21" s="2">
        <v>100</v>
      </c>
      <c r="N21" s="2">
        <v>100</v>
      </c>
      <c r="O21" s="2">
        <v>9</v>
      </c>
      <c r="P21" s="2">
        <v>5</v>
      </c>
      <c r="Q21" s="2">
        <v>2</v>
      </c>
      <c r="R21" s="2">
        <v>0</v>
      </c>
    </row>
    <row r="22" spans="1:18">
      <c r="A22" s="2">
        <v>53</v>
      </c>
      <c r="B22" s="2">
        <v>25</v>
      </c>
      <c r="C22" s="2">
        <v>40</v>
      </c>
      <c r="D22" s="2">
        <v>17.82</v>
      </c>
      <c r="E22" s="2">
        <v>40.6</v>
      </c>
      <c r="F22" s="2">
        <f t="shared" si="2"/>
        <v>78</v>
      </c>
      <c r="G22" s="2">
        <v>13</v>
      </c>
      <c r="H22" s="2">
        <f t="shared" si="0"/>
        <v>1.3</v>
      </c>
      <c r="I22" s="2">
        <v>5</v>
      </c>
      <c r="J22" s="2">
        <v>5</v>
      </c>
      <c r="K22" s="2">
        <v>50</v>
      </c>
      <c r="L22" s="2">
        <v>50</v>
      </c>
      <c r="M22" s="2">
        <v>100</v>
      </c>
      <c r="N22" s="2">
        <v>100</v>
      </c>
      <c r="O22" s="2">
        <v>9</v>
      </c>
      <c r="P22" s="2">
        <v>5</v>
      </c>
      <c r="Q22" s="2">
        <v>2</v>
      </c>
      <c r="R22" s="2">
        <v>2</v>
      </c>
    </row>
    <row r="23" spans="1:18">
      <c r="A23" s="2">
        <v>54</v>
      </c>
      <c r="B23" s="2">
        <v>25</v>
      </c>
      <c r="C23" s="2">
        <v>40</v>
      </c>
      <c r="D23" s="2">
        <v>17.82</v>
      </c>
      <c r="E23" s="2">
        <v>40.6</v>
      </c>
      <c r="F23" s="2">
        <f t="shared" si="2"/>
        <v>210</v>
      </c>
      <c r="G23" s="2">
        <v>35</v>
      </c>
      <c r="H23" s="2">
        <f t="shared" si="0"/>
        <v>3.5</v>
      </c>
      <c r="I23" s="2">
        <v>3</v>
      </c>
      <c r="J23" s="2">
        <v>3</v>
      </c>
      <c r="K23" s="2">
        <v>50</v>
      </c>
      <c r="L23" s="2">
        <v>50</v>
      </c>
      <c r="M23" s="2">
        <v>100</v>
      </c>
      <c r="N23" s="2">
        <v>100</v>
      </c>
      <c r="O23" s="2">
        <v>9</v>
      </c>
      <c r="P23" s="2">
        <v>5</v>
      </c>
      <c r="Q23" s="2">
        <v>2</v>
      </c>
      <c r="R23" s="2">
        <v>3</v>
      </c>
    </row>
    <row r="24" spans="1:18">
      <c r="A24" s="2">
        <v>60</v>
      </c>
      <c r="B24" s="2">
        <v>25</v>
      </c>
      <c r="C24" s="2">
        <v>40</v>
      </c>
      <c r="D24" s="2">
        <v>17.82</v>
      </c>
      <c r="E24" s="2">
        <v>40.6</v>
      </c>
      <c r="F24" s="2">
        <f t="shared" si="2"/>
        <v>150</v>
      </c>
      <c r="G24" s="2">
        <v>25</v>
      </c>
      <c r="H24" s="2">
        <f t="shared" si="0"/>
        <v>2.5</v>
      </c>
      <c r="I24" s="2">
        <v>3</v>
      </c>
      <c r="J24" s="2">
        <v>3</v>
      </c>
      <c r="K24" s="2">
        <v>50</v>
      </c>
      <c r="L24" s="2">
        <v>50</v>
      </c>
      <c r="M24" s="2">
        <v>100</v>
      </c>
      <c r="N24" s="2">
        <v>100</v>
      </c>
      <c r="O24" s="2">
        <v>9</v>
      </c>
      <c r="P24" s="2">
        <v>5</v>
      </c>
      <c r="Q24" s="2">
        <v>2</v>
      </c>
      <c r="R24" s="2">
        <v>0</v>
      </c>
    </row>
    <row r="25" spans="1:18">
      <c r="A25" s="2">
        <v>73</v>
      </c>
      <c r="B25" s="2">
        <v>25</v>
      </c>
      <c r="C25" s="2">
        <v>50</v>
      </c>
      <c r="D25" s="2">
        <v>17.82</v>
      </c>
      <c r="E25" s="2">
        <v>40.6</v>
      </c>
      <c r="F25" s="2">
        <f t="shared" si="2"/>
        <v>132</v>
      </c>
      <c r="G25" s="2">
        <v>22</v>
      </c>
      <c r="H25" s="2">
        <f t="shared" si="0"/>
        <v>2.2000000000000002</v>
      </c>
      <c r="I25" s="2">
        <v>2</v>
      </c>
      <c r="J25" s="2">
        <v>2</v>
      </c>
      <c r="K25" s="2">
        <v>50</v>
      </c>
      <c r="L25" s="2">
        <v>50</v>
      </c>
      <c r="M25" s="2">
        <v>100</v>
      </c>
      <c r="N25" s="2">
        <v>100</v>
      </c>
      <c r="O25" s="2">
        <v>9</v>
      </c>
      <c r="P25" s="2">
        <v>5</v>
      </c>
      <c r="Q25" s="2">
        <v>2</v>
      </c>
      <c r="R25" s="2">
        <v>4</v>
      </c>
    </row>
    <row r="26" spans="1:18">
      <c r="A26" s="2">
        <v>75</v>
      </c>
      <c r="B26" s="2">
        <v>25</v>
      </c>
      <c r="C26" s="2">
        <v>60</v>
      </c>
      <c r="D26" s="2">
        <v>17.82</v>
      </c>
      <c r="E26" s="2">
        <v>40.6</v>
      </c>
      <c r="F26" s="2">
        <f t="shared" si="2"/>
        <v>114</v>
      </c>
      <c r="G26" s="2">
        <v>19</v>
      </c>
      <c r="H26" s="2">
        <f t="shared" si="0"/>
        <v>1.9000000000000001</v>
      </c>
      <c r="I26" s="2">
        <v>5</v>
      </c>
      <c r="J26" s="2">
        <v>5</v>
      </c>
      <c r="K26" s="2">
        <v>50</v>
      </c>
      <c r="L26" s="2">
        <v>50</v>
      </c>
      <c r="M26" s="2">
        <v>100</v>
      </c>
      <c r="N26" s="2">
        <v>100</v>
      </c>
      <c r="O26" s="2">
        <v>9</v>
      </c>
      <c r="P26" s="2">
        <v>5</v>
      </c>
      <c r="Q26" s="2">
        <v>2</v>
      </c>
      <c r="R26" s="2">
        <v>5</v>
      </c>
    </row>
    <row r="27" spans="1:18">
      <c r="A27" s="2">
        <v>79</v>
      </c>
      <c r="B27" s="2">
        <v>25</v>
      </c>
      <c r="C27" s="2">
        <v>60</v>
      </c>
      <c r="D27" s="2">
        <v>17.82</v>
      </c>
      <c r="E27" s="2">
        <v>40.6</v>
      </c>
      <c r="F27" s="2">
        <f t="shared" si="2"/>
        <v>120</v>
      </c>
      <c r="G27" s="2">
        <v>20</v>
      </c>
      <c r="H27" s="2">
        <f t="shared" si="0"/>
        <v>2</v>
      </c>
      <c r="I27" s="2">
        <v>5</v>
      </c>
      <c r="J27" s="2">
        <v>5</v>
      </c>
      <c r="K27" s="2">
        <v>50</v>
      </c>
      <c r="L27" s="2">
        <v>50</v>
      </c>
      <c r="M27" s="2">
        <v>100</v>
      </c>
      <c r="N27" s="2">
        <v>100</v>
      </c>
      <c r="O27" s="2">
        <v>9</v>
      </c>
      <c r="P27" s="2">
        <v>5</v>
      </c>
      <c r="Q27" s="2">
        <v>2</v>
      </c>
      <c r="R27" s="2">
        <v>3</v>
      </c>
    </row>
    <row r="28" spans="1:18">
      <c r="A28" s="2">
        <v>103</v>
      </c>
      <c r="B28" s="2">
        <v>25</v>
      </c>
      <c r="C28" s="2">
        <v>60</v>
      </c>
      <c r="D28" s="2">
        <v>17.82</v>
      </c>
      <c r="E28" s="2">
        <v>40.6</v>
      </c>
      <c r="F28" s="2">
        <f t="shared" si="2"/>
        <v>168</v>
      </c>
      <c r="G28" s="2">
        <v>28</v>
      </c>
      <c r="H28" s="2">
        <f t="shared" si="0"/>
        <v>2.8000000000000003</v>
      </c>
      <c r="I28" s="2">
        <v>3</v>
      </c>
      <c r="J28" s="2">
        <v>3</v>
      </c>
      <c r="K28" s="2">
        <v>50</v>
      </c>
      <c r="L28" s="2">
        <v>50</v>
      </c>
      <c r="M28" s="2">
        <v>100</v>
      </c>
      <c r="N28" s="2">
        <v>100</v>
      </c>
      <c r="O28" s="2">
        <v>9</v>
      </c>
      <c r="P28" s="2">
        <v>5</v>
      </c>
      <c r="Q28" s="2">
        <v>2</v>
      </c>
      <c r="R28" s="2">
        <v>2</v>
      </c>
    </row>
    <row r="29" spans="1:18">
      <c r="A29" s="2">
        <v>104</v>
      </c>
      <c r="B29" s="2">
        <v>25</v>
      </c>
      <c r="C29" s="2">
        <v>60</v>
      </c>
      <c r="D29" s="2">
        <v>17.82</v>
      </c>
      <c r="E29" s="2">
        <v>40.6</v>
      </c>
      <c r="F29" s="2">
        <f t="shared" si="2"/>
        <v>180</v>
      </c>
      <c r="G29" s="2">
        <v>30</v>
      </c>
      <c r="H29" s="2">
        <f t="shared" si="0"/>
        <v>3</v>
      </c>
      <c r="I29" s="2">
        <v>5</v>
      </c>
      <c r="J29" s="2">
        <v>5</v>
      </c>
      <c r="K29" s="2">
        <v>50</v>
      </c>
      <c r="L29" s="2">
        <v>50</v>
      </c>
      <c r="M29" s="2">
        <v>100</v>
      </c>
      <c r="N29" s="2">
        <v>100</v>
      </c>
      <c r="O29" s="2">
        <v>9</v>
      </c>
      <c r="P29" s="2">
        <v>5</v>
      </c>
      <c r="Q29" s="2">
        <v>2</v>
      </c>
      <c r="R29" s="2">
        <v>0</v>
      </c>
    </row>
    <row r="30" spans="1:18">
      <c r="A30" s="2">
        <v>110</v>
      </c>
      <c r="B30" s="2">
        <v>25</v>
      </c>
      <c r="C30" s="2">
        <v>60</v>
      </c>
      <c r="D30" s="2">
        <v>17.82</v>
      </c>
      <c r="E30" s="2">
        <v>40.6</v>
      </c>
      <c r="F30" s="2">
        <f t="shared" si="2"/>
        <v>114</v>
      </c>
      <c r="G30" s="2">
        <v>19</v>
      </c>
      <c r="H30" s="2">
        <f t="shared" si="0"/>
        <v>1.9000000000000001</v>
      </c>
      <c r="I30" s="2">
        <v>5</v>
      </c>
      <c r="J30" s="2">
        <v>5</v>
      </c>
      <c r="K30" s="2">
        <v>50</v>
      </c>
      <c r="L30" s="2">
        <v>50</v>
      </c>
      <c r="M30" s="2">
        <v>100</v>
      </c>
      <c r="N30" s="2">
        <v>100</v>
      </c>
      <c r="O30" s="2">
        <v>9</v>
      </c>
      <c r="P30" s="2">
        <v>5</v>
      </c>
      <c r="Q30" s="2">
        <v>2</v>
      </c>
      <c r="R30" s="2">
        <v>4</v>
      </c>
    </row>
    <row r="31" spans="1:18">
      <c r="A31" s="2">
        <v>111</v>
      </c>
      <c r="B31" s="2">
        <v>25</v>
      </c>
      <c r="C31" s="2">
        <v>60</v>
      </c>
      <c r="D31" s="2">
        <v>17.82</v>
      </c>
      <c r="E31" s="2">
        <v>40.6</v>
      </c>
      <c r="F31" s="2">
        <f t="shared" si="2"/>
        <v>300</v>
      </c>
      <c r="G31" s="2">
        <v>50</v>
      </c>
      <c r="H31" s="2">
        <f t="shared" si="0"/>
        <v>5</v>
      </c>
      <c r="I31" s="2">
        <v>2</v>
      </c>
      <c r="J31" s="2">
        <v>2</v>
      </c>
      <c r="K31" s="2">
        <v>50</v>
      </c>
      <c r="L31" s="2">
        <v>50</v>
      </c>
      <c r="M31" s="2">
        <v>100</v>
      </c>
      <c r="N31" s="2">
        <v>100</v>
      </c>
      <c r="O31" s="2">
        <v>9</v>
      </c>
      <c r="P31" s="2">
        <v>5</v>
      </c>
      <c r="Q31" s="2">
        <v>2</v>
      </c>
      <c r="R31" s="2">
        <v>0</v>
      </c>
    </row>
    <row r="32" spans="1:18">
      <c r="A32" s="2">
        <v>112</v>
      </c>
      <c r="B32" s="2">
        <v>25</v>
      </c>
      <c r="C32" s="2">
        <v>20</v>
      </c>
      <c r="D32" s="2">
        <v>17.82</v>
      </c>
      <c r="E32" s="2">
        <v>40.6</v>
      </c>
      <c r="F32" s="2">
        <f t="shared" si="2"/>
        <v>210</v>
      </c>
      <c r="G32" s="2">
        <v>35</v>
      </c>
      <c r="H32" s="2">
        <f t="shared" si="0"/>
        <v>3.5</v>
      </c>
      <c r="I32" s="2">
        <v>5</v>
      </c>
      <c r="J32" s="2">
        <v>5</v>
      </c>
      <c r="K32" s="2">
        <v>50</v>
      </c>
      <c r="L32" s="2">
        <v>50</v>
      </c>
      <c r="M32" s="2">
        <v>100</v>
      </c>
      <c r="N32" s="2">
        <v>100</v>
      </c>
      <c r="O32" s="2">
        <v>9</v>
      </c>
      <c r="P32" s="2">
        <v>5</v>
      </c>
      <c r="Q32" s="2">
        <v>2</v>
      </c>
      <c r="R32" s="2">
        <v>7</v>
      </c>
    </row>
    <row r="33" spans="1:20">
      <c r="A33" s="2">
        <v>68</v>
      </c>
      <c r="B33" s="2">
        <v>30</v>
      </c>
      <c r="C33" s="2">
        <v>80</v>
      </c>
      <c r="D33" s="2">
        <v>15</v>
      </c>
      <c r="E33" s="2">
        <v>30</v>
      </c>
      <c r="F33" s="2">
        <f t="shared" si="2"/>
        <v>120</v>
      </c>
      <c r="G33" s="2">
        <v>20</v>
      </c>
      <c r="H33" s="2">
        <f t="shared" si="0"/>
        <v>2</v>
      </c>
      <c r="I33" s="2">
        <v>4</v>
      </c>
      <c r="J33" s="2">
        <v>4</v>
      </c>
      <c r="K33" s="2">
        <v>40</v>
      </c>
      <c r="L33" s="2">
        <v>40</v>
      </c>
      <c r="M33" s="2">
        <v>80</v>
      </c>
      <c r="N33" s="2">
        <v>80</v>
      </c>
      <c r="O33" s="2">
        <v>9</v>
      </c>
      <c r="P33" s="2">
        <v>5</v>
      </c>
      <c r="Q33" s="2">
        <v>2</v>
      </c>
      <c r="R33" s="2">
        <v>0</v>
      </c>
    </row>
    <row r="34" spans="1:20">
      <c r="A34" s="2">
        <v>90</v>
      </c>
      <c r="B34" s="2">
        <v>20</v>
      </c>
      <c r="C34" s="2">
        <v>50</v>
      </c>
      <c r="D34" s="2">
        <v>15</v>
      </c>
      <c r="E34" s="2">
        <v>80</v>
      </c>
      <c r="F34" s="2">
        <f t="shared" si="2"/>
        <v>600</v>
      </c>
      <c r="G34" s="2">
        <v>100</v>
      </c>
      <c r="H34" s="2">
        <f t="shared" si="0"/>
        <v>10</v>
      </c>
      <c r="I34" s="2">
        <v>1</v>
      </c>
      <c r="J34" s="2">
        <v>1</v>
      </c>
      <c r="K34" s="2">
        <v>25</v>
      </c>
      <c r="L34" s="2">
        <v>25</v>
      </c>
      <c r="M34" s="2">
        <v>50</v>
      </c>
      <c r="N34" s="2">
        <v>50</v>
      </c>
      <c r="O34" s="2">
        <v>9</v>
      </c>
      <c r="P34" s="2">
        <v>5</v>
      </c>
      <c r="Q34" s="2">
        <v>2</v>
      </c>
      <c r="R34" s="2">
        <v>4</v>
      </c>
    </row>
    <row r="35" spans="1:20">
      <c r="A35" s="2">
        <v>109</v>
      </c>
      <c r="B35" s="2">
        <v>25</v>
      </c>
      <c r="C35" s="2">
        <v>50</v>
      </c>
      <c r="D35" s="2">
        <v>15</v>
      </c>
      <c r="E35" s="2">
        <v>60</v>
      </c>
      <c r="F35" s="2">
        <f t="shared" si="2"/>
        <v>120</v>
      </c>
      <c r="G35" s="2">
        <v>20</v>
      </c>
      <c r="H35" s="2">
        <f t="shared" si="0"/>
        <v>2</v>
      </c>
      <c r="I35" s="2">
        <v>2</v>
      </c>
      <c r="J35" s="2">
        <v>2</v>
      </c>
      <c r="K35" s="2">
        <v>25</v>
      </c>
      <c r="L35" s="2">
        <v>25</v>
      </c>
      <c r="M35" s="2">
        <v>50</v>
      </c>
      <c r="N35" s="2">
        <v>50</v>
      </c>
      <c r="O35" s="2">
        <v>9</v>
      </c>
      <c r="P35" s="2">
        <v>5</v>
      </c>
      <c r="Q35" s="2">
        <v>2</v>
      </c>
      <c r="R35" s="2">
        <v>7</v>
      </c>
      <c r="T35" s="1"/>
    </row>
    <row r="36" spans="1:20">
      <c r="A36" s="2">
        <v>115</v>
      </c>
      <c r="B36" s="2">
        <v>25</v>
      </c>
      <c r="C36" s="2">
        <v>50</v>
      </c>
      <c r="D36" s="2">
        <v>15</v>
      </c>
      <c r="E36" s="2">
        <v>55</v>
      </c>
      <c r="F36" s="2">
        <f t="shared" si="2"/>
        <v>108</v>
      </c>
      <c r="G36" s="2">
        <v>18</v>
      </c>
      <c r="H36" s="2">
        <f t="shared" si="0"/>
        <v>1.8</v>
      </c>
      <c r="I36" s="2">
        <v>2</v>
      </c>
      <c r="J36" s="2">
        <v>2</v>
      </c>
      <c r="K36" s="2">
        <v>25</v>
      </c>
      <c r="L36" s="2">
        <v>25</v>
      </c>
      <c r="M36" s="2">
        <v>50</v>
      </c>
      <c r="N36" s="2">
        <v>50</v>
      </c>
      <c r="O36" s="2">
        <v>9</v>
      </c>
      <c r="P36" s="2">
        <v>5</v>
      </c>
      <c r="Q36" s="2">
        <v>2</v>
      </c>
      <c r="R36" s="2">
        <v>5</v>
      </c>
      <c r="T36" s="1"/>
    </row>
    <row r="37" spans="1:20">
      <c r="A37" s="2">
        <v>0</v>
      </c>
      <c r="B37" s="2">
        <v>5</v>
      </c>
      <c r="C37" s="2">
        <v>30</v>
      </c>
      <c r="D37" s="2">
        <v>15</v>
      </c>
      <c r="E37" s="2">
        <v>100</v>
      </c>
      <c r="F37" s="2">
        <f t="shared" si="2"/>
        <v>720</v>
      </c>
      <c r="G37" s="2">
        <v>120</v>
      </c>
      <c r="H37" s="2">
        <f t="shared" si="0"/>
        <v>12</v>
      </c>
      <c r="I37" s="2">
        <v>1</v>
      </c>
      <c r="J37" s="2">
        <v>1</v>
      </c>
      <c r="K37" s="2">
        <v>15</v>
      </c>
      <c r="L37" s="2">
        <v>15</v>
      </c>
      <c r="M37" s="2">
        <v>30</v>
      </c>
      <c r="N37" s="2">
        <v>30</v>
      </c>
      <c r="O37" s="2">
        <v>9</v>
      </c>
      <c r="P37" s="2">
        <v>5</v>
      </c>
      <c r="Q37" s="2">
        <v>2</v>
      </c>
      <c r="R37" s="2">
        <v>6</v>
      </c>
      <c r="T37" s="1"/>
    </row>
    <row r="38" spans="1:20">
      <c r="A38" s="2">
        <v>3</v>
      </c>
      <c r="B38" s="2">
        <v>5</v>
      </c>
      <c r="C38" s="2">
        <v>30</v>
      </c>
      <c r="D38" s="2">
        <v>15</v>
      </c>
      <c r="E38" s="2">
        <v>126.68</v>
      </c>
      <c r="F38" s="2">
        <f t="shared" si="2"/>
        <v>360</v>
      </c>
      <c r="G38" s="2">
        <v>60</v>
      </c>
      <c r="H38" s="2">
        <f t="shared" si="0"/>
        <v>6</v>
      </c>
      <c r="I38" s="2">
        <v>3</v>
      </c>
      <c r="J38" s="2">
        <v>3</v>
      </c>
      <c r="K38" s="2">
        <v>15</v>
      </c>
      <c r="L38" s="2">
        <v>15</v>
      </c>
      <c r="M38" s="2">
        <v>30</v>
      </c>
      <c r="N38" s="2">
        <v>30</v>
      </c>
      <c r="O38" s="2">
        <v>9</v>
      </c>
      <c r="P38" s="2">
        <v>5</v>
      </c>
      <c r="Q38" s="2">
        <v>2</v>
      </c>
      <c r="R38" s="2">
        <v>8</v>
      </c>
      <c r="T38" s="1"/>
    </row>
    <row r="39" spans="1:20">
      <c r="A39" s="2">
        <v>5</v>
      </c>
      <c r="B39" s="2">
        <v>5</v>
      </c>
      <c r="C39" s="2">
        <v>50</v>
      </c>
      <c r="D39" s="2">
        <v>26.2438</v>
      </c>
      <c r="E39" s="2">
        <v>126.68</v>
      </c>
      <c r="F39" s="2">
        <f t="shared" si="2"/>
        <v>450</v>
      </c>
      <c r="G39" s="2">
        <v>75</v>
      </c>
      <c r="H39" s="2">
        <f t="shared" si="0"/>
        <v>7.5</v>
      </c>
      <c r="I39" s="2">
        <v>2</v>
      </c>
      <c r="J39" s="2">
        <v>1</v>
      </c>
      <c r="K39" s="2">
        <v>15</v>
      </c>
      <c r="L39" s="2">
        <v>15</v>
      </c>
      <c r="M39" s="2">
        <v>30</v>
      </c>
      <c r="N39" s="2">
        <v>30</v>
      </c>
      <c r="O39" s="2">
        <v>9</v>
      </c>
      <c r="P39" s="2">
        <v>5</v>
      </c>
      <c r="Q39" s="2">
        <v>2</v>
      </c>
      <c r="R39" s="2">
        <v>0</v>
      </c>
      <c r="T39" s="1"/>
    </row>
    <row r="40" spans="1:20">
      <c r="A40" s="2">
        <v>11</v>
      </c>
      <c r="B40" s="2">
        <v>10</v>
      </c>
      <c r="C40" s="2">
        <v>30</v>
      </c>
      <c r="D40" s="2">
        <v>26.2438</v>
      </c>
      <c r="E40" s="2">
        <v>126.68</v>
      </c>
      <c r="F40" s="2">
        <f t="shared" si="2"/>
        <v>450</v>
      </c>
      <c r="G40" s="2">
        <v>75</v>
      </c>
      <c r="H40" s="2">
        <f t="shared" si="0"/>
        <v>7.5</v>
      </c>
      <c r="I40" s="2">
        <v>3</v>
      </c>
      <c r="J40" s="2">
        <v>3</v>
      </c>
      <c r="K40" s="2">
        <v>15</v>
      </c>
      <c r="L40" s="2">
        <v>15</v>
      </c>
      <c r="M40" s="2">
        <v>30</v>
      </c>
      <c r="N40" s="2">
        <v>30</v>
      </c>
      <c r="O40" s="2">
        <v>9</v>
      </c>
      <c r="P40" s="2">
        <v>5</v>
      </c>
      <c r="Q40" s="2">
        <v>2</v>
      </c>
      <c r="R40" s="2">
        <v>6</v>
      </c>
      <c r="T40" s="1"/>
    </row>
    <row r="41" spans="1:20">
      <c r="A41" s="2">
        <v>17</v>
      </c>
      <c r="B41" s="2">
        <v>5</v>
      </c>
      <c r="C41" s="2">
        <v>30</v>
      </c>
      <c r="D41" s="2">
        <v>20</v>
      </c>
      <c r="E41" s="2">
        <v>126.68</v>
      </c>
      <c r="F41" s="2">
        <f t="shared" si="2"/>
        <v>300</v>
      </c>
      <c r="G41" s="2">
        <v>50</v>
      </c>
      <c r="H41" s="2">
        <f t="shared" si="0"/>
        <v>5</v>
      </c>
      <c r="I41" s="2">
        <v>2</v>
      </c>
      <c r="J41" s="2">
        <v>1</v>
      </c>
      <c r="K41" s="2">
        <v>15</v>
      </c>
      <c r="L41" s="2">
        <v>15</v>
      </c>
      <c r="M41" s="2">
        <v>30</v>
      </c>
      <c r="N41" s="2">
        <v>30</v>
      </c>
      <c r="O41" s="2">
        <v>9</v>
      </c>
      <c r="P41" s="2">
        <v>5</v>
      </c>
      <c r="Q41" s="2">
        <v>2</v>
      </c>
      <c r="R41" s="2">
        <v>4</v>
      </c>
      <c r="T41" s="1"/>
    </row>
    <row r="42" spans="1:20">
      <c r="A42" s="2">
        <v>18</v>
      </c>
      <c r="B42" s="2">
        <v>5</v>
      </c>
      <c r="C42" s="2">
        <v>30</v>
      </c>
      <c r="D42" s="2">
        <v>20</v>
      </c>
      <c r="E42" s="2">
        <v>126.68</v>
      </c>
      <c r="F42" s="2">
        <f t="shared" si="2"/>
        <v>144</v>
      </c>
      <c r="G42" s="2">
        <v>24</v>
      </c>
      <c r="H42" s="2">
        <f t="shared" si="0"/>
        <v>2.4000000000000004</v>
      </c>
      <c r="I42" s="2">
        <v>3</v>
      </c>
      <c r="J42" s="2">
        <v>3</v>
      </c>
      <c r="K42" s="2">
        <v>15</v>
      </c>
      <c r="L42" s="2">
        <v>15</v>
      </c>
      <c r="M42" s="2">
        <v>30</v>
      </c>
      <c r="N42" s="2">
        <v>30</v>
      </c>
      <c r="O42" s="2">
        <v>9</v>
      </c>
      <c r="P42" s="2">
        <v>5</v>
      </c>
      <c r="Q42" s="2">
        <v>2</v>
      </c>
      <c r="R42" s="2">
        <v>5</v>
      </c>
    </row>
    <row r="43" spans="1:20">
      <c r="A43" s="2">
        <v>25</v>
      </c>
      <c r="B43" s="2">
        <v>8</v>
      </c>
      <c r="C43" s="2">
        <v>30</v>
      </c>
      <c r="D43" s="2">
        <v>20</v>
      </c>
      <c r="E43" s="2">
        <v>126.68</v>
      </c>
      <c r="F43" s="2">
        <f t="shared" si="2"/>
        <v>240</v>
      </c>
      <c r="G43" s="2">
        <v>40</v>
      </c>
      <c r="H43" s="2">
        <f t="shared" si="0"/>
        <v>4</v>
      </c>
      <c r="I43" s="2">
        <v>1</v>
      </c>
      <c r="J43" s="2">
        <v>1</v>
      </c>
      <c r="K43" s="2">
        <v>15</v>
      </c>
      <c r="L43" s="2">
        <v>15</v>
      </c>
      <c r="M43" s="2">
        <v>30</v>
      </c>
      <c r="N43" s="2">
        <v>30</v>
      </c>
      <c r="O43" s="2">
        <v>9</v>
      </c>
      <c r="P43" s="2">
        <v>5</v>
      </c>
      <c r="Q43" s="2">
        <v>2</v>
      </c>
      <c r="R43" s="2">
        <v>0</v>
      </c>
      <c r="T43" s="1"/>
    </row>
    <row r="44" spans="1:20">
      <c r="A44" s="2">
        <v>26</v>
      </c>
      <c r="B44" s="2">
        <v>8</v>
      </c>
      <c r="C44" s="2">
        <v>30</v>
      </c>
      <c r="D44" s="2">
        <v>20</v>
      </c>
      <c r="E44" s="2">
        <v>126.68</v>
      </c>
      <c r="F44" s="2">
        <f t="shared" si="2"/>
        <v>270</v>
      </c>
      <c r="G44" s="2">
        <v>45</v>
      </c>
      <c r="H44" s="2">
        <f t="shared" si="0"/>
        <v>4.5</v>
      </c>
      <c r="I44" s="2">
        <v>6</v>
      </c>
      <c r="J44" s="2">
        <v>6</v>
      </c>
      <c r="K44" s="2">
        <v>15</v>
      </c>
      <c r="L44" s="2">
        <v>15</v>
      </c>
      <c r="M44" s="2">
        <v>30</v>
      </c>
      <c r="N44" s="2">
        <v>30</v>
      </c>
      <c r="O44" s="2">
        <v>9</v>
      </c>
      <c r="P44" s="2">
        <v>5</v>
      </c>
      <c r="Q44" s="2">
        <v>2</v>
      </c>
      <c r="R44" s="2">
        <v>0</v>
      </c>
    </row>
    <row r="45" spans="1:20">
      <c r="A45" s="2">
        <v>31</v>
      </c>
      <c r="B45" s="2">
        <v>8</v>
      </c>
      <c r="C45" s="2">
        <v>30</v>
      </c>
      <c r="D45" s="2">
        <v>20</v>
      </c>
      <c r="E45" s="2">
        <v>126.68</v>
      </c>
      <c r="F45" s="2">
        <f t="shared" si="2"/>
        <v>114</v>
      </c>
      <c r="G45" s="2">
        <v>19</v>
      </c>
      <c r="H45" s="2">
        <f t="shared" si="0"/>
        <v>1.9000000000000001</v>
      </c>
      <c r="I45" s="2">
        <v>2</v>
      </c>
      <c r="J45" s="2">
        <v>1</v>
      </c>
      <c r="K45" s="2">
        <v>15</v>
      </c>
      <c r="L45" s="2">
        <v>15</v>
      </c>
      <c r="M45" s="2">
        <v>30</v>
      </c>
      <c r="N45" s="2">
        <v>30</v>
      </c>
      <c r="O45" s="2">
        <v>9</v>
      </c>
      <c r="P45" s="2">
        <v>5</v>
      </c>
      <c r="Q45" s="2">
        <v>2</v>
      </c>
      <c r="R45" s="2">
        <v>4</v>
      </c>
    </row>
    <row r="46" spans="1:20">
      <c r="A46" s="2">
        <v>35</v>
      </c>
      <c r="B46" s="2">
        <v>8</v>
      </c>
      <c r="C46" s="2">
        <v>30</v>
      </c>
      <c r="D46" s="2">
        <v>26.2438</v>
      </c>
      <c r="E46" s="2">
        <v>126.68</v>
      </c>
      <c r="F46" s="2">
        <f t="shared" si="2"/>
        <v>270</v>
      </c>
      <c r="G46" s="2">
        <v>45</v>
      </c>
      <c r="H46" s="2">
        <f t="shared" si="0"/>
        <v>4.5</v>
      </c>
      <c r="I46" s="2">
        <v>5</v>
      </c>
      <c r="J46" s="2">
        <v>5</v>
      </c>
      <c r="K46" s="2">
        <v>15</v>
      </c>
      <c r="L46" s="2">
        <v>15</v>
      </c>
      <c r="M46" s="2">
        <v>30</v>
      </c>
      <c r="N46" s="2">
        <v>30</v>
      </c>
      <c r="O46" s="2">
        <v>9</v>
      </c>
      <c r="P46" s="2">
        <v>5</v>
      </c>
      <c r="Q46" s="2">
        <v>2</v>
      </c>
      <c r="R46" s="2">
        <v>2</v>
      </c>
    </row>
    <row r="47" spans="1:20">
      <c r="A47" s="2">
        <v>39</v>
      </c>
      <c r="B47" s="2">
        <v>8</v>
      </c>
      <c r="C47" s="2">
        <v>30</v>
      </c>
      <c r="D47" s="2">
        <v>26.2438</v>
      </c>
      <c r="E47" s="2">
        <v>126.68</v>
      </c>
      <c r="F47" s="2">
        <f t="shared" si="2"/>
        <v>420</v>
      </c>
      <c r="G47" s="2">
        <v>70</v>
      </c>
      <c r="H47" s="2">
        <f t="shared" si="0"/>
        <v>7</v>
      </c>
      <c r="I47" s="2">
        <v>4</v>
      </c>
      <c r="J47" s="2">
        <v>4</v>
      </c>
      <c r="K47" s="2">
        <v>15</v>
      </c>
      <c r="L47" s="2">
        <v>15</v>
      </c>
      <c r="M47" s="2">
        <v>30</v>
      </c>
      <c r="N47" s="2">
        <v>30</v>
      </c>
      <c r="O47" s="2">
        <v>9</v>
      </c>
      <c r="P47" s="2">
        <v>5</v>
      </c>
      <c r="Q47" s="2">
        <v>2</v>
      </c>
      <c r="R47" s="2">
        <v>9</v>
      </c>
    </row>
    <row r="48" spans="1:20">
      <c r="A48" s="2">
        <v>69</v>
      </c>
      <c r="B48" s="2">
        <v>10</v>
      </c>
      <c r="C48" s="2">
        <v>15</v>
      </c>
      <c r="D48" s="2">
        <v>5</v>
      </c>
      <c r="E48" s="2">
        <v>126.68</v>
      </c>
      <c r="F48" s="2">
        <f t="shared" si="2"/>
        <v>198</v>
      </c>
      <c r="G48" s="2">
        <v>33</v>
      </c>
      <c r="H48" s="2">
        <f t="shared" si="0"/>
        <v>3.3000000000000003</v>
      </c>
      <c r="I48" s="2">
        <v>3</v>
      </c>
      <c r="J48" s="2">
        <v>3</v>
      </c>
      <c r="K48" s="2">
        <v>15</v>
      </c>
      <c r="L48" s="2">
        <v>15</v>
      </c>
      <c r="M48" s="2">
        <v>30</v>
      </c>
      <c r="N48" s="2">
        <v>30</v>
      </c>
      <c r="O48" s="2">
        <v>9</v>
      </c>
      <c r="P48" s="2">
        <v>5</v>
      </c>
      <c r="Q48" s="2">
        <v>2</v>
      </c>
      <c r="R48" s="2">
        <v>0</v>
      </c>
    </row>
    <row r="49" spans="1:18">
      <c r="A49" s="2">
        <v>71</v>
      </c>
      <c r="B49" s="2">
        <v>5</v>
      </c>
      <c r="C49" s="2">
        <v>10</v>
      </c>
      <c r="D49" s="2">
        <v>5</v>
      </c>
      <c r="E49" s="2">
        <v>126.68</v>
      </c>
      <c r="F49" s="2">
        <f t="shared" si="2"/>
        <v>240</v>
      </c>
      <c r="G49" s="2">
        <v>40</v>
      </c>
      <c r="H49" s="2">
        <f t="shared" si="0"/>
        <v>4</v>
      </c>
      <c r="I49" s="2">
        <v>2</v>
      </c>
      <c r="J49" s="2">
        <v>2</v>
      </c>
      <c r="K49" s="2">
        <v>15</v>
      </c>
      <c r="L49" s="2">
        <v>15</v>
      </c>
      <c r="M49" s="2">
        <v>30</v>
      </c>
      <c r="N49" s="2">
        <v>30</v>
      </c>
      <c r="O49" s="2">
        <v>9</v>
      </c>
      <c r="P49" s="2">
        <v>5</v>
      </c>
      <c r="Q49" s="2">
        <v>2</v>
      </c>
      <c r="R49" s="2">
        <v>2</v>
      </c>
    </row>
    <row r="50" spans="1:18">
      <c r="A50" s="2">
        <v>84</v>
      </c>
      <c r="B50" s="2">
        <v>10</v>
      </c>
      <c r="C50" s="2">
        <v>30</v>
      </c>
      <c r="D50" s="2">
        <v>5</v>
      </c>
      <c r="E50" s="2">
        <v>126.68</v>
      </c>
      <c r="F50" s="2">
        <f t="shared" si="2"/>
        <v>150</v>
      </c>
      <c r="G50" s="2">
        <v>25</v>
      </c>
      <c r="H50" s="2">
        <f t="shared" si="0"/>
        <v>2.5</v>
      </c>
      <c r="I50" s="2">
        <v>5</v>
      </c>
      <c r="J50" s="2">
        <v>5</v>
      </c>
      <c r="K50" s="2">
        <v>15</v>
      </c>
      <c r="L50" s="2">
        <v>15</v>
      </c>
      <c r="M50" s="2">
        <v>30</v>
      </c>
      <c r="N50" s="2">
        <v>30</v>
      </c>
      <c r="O50" s="2">
        <v>9</v>
      </c>
      <c r="P50" s="2">
        <v>5</v>
      </c>
      <c r="Q50" s="2">
        <v>2</v>
      </c>
      <c r="R50" s="2">
        <v>1</v>
      </c>
    </row>
    <row r="51" spans="1:18">
      <c r="A51" s="2">
        <v>72</v>
      </c>
      <c r="B51" s="2">
        <v>5</v>
      </c>
      <c r="C51" s="2">
        <v>20</v>
      </c>
      <c r="D51" s="2">
        <v>5</v>
      </c>
      <c r="E51" s="2">
        <v>71.8</v>
      </c>
      <c r="F51" s="2">
        <f t="shared" si="2"/>
        <v>600</v>
      </c>
      <c r="G51" s="2">
        <v>100</v>
      </c>
      <c r="H51" s="2">
        <f t="shared" si="0"/>
        <v>10</v>
      </c>
      <c r="I51" s="2">
        <v>2</v>
      </c>
      <c r="J51" s="2">
        <v>2</v>
      </c>
      <c r="K51" s="2">
        <v>10</v>
      </c>
      <c r="L51" s="2">
        <v>10</v>
      </c>
      <c r="M51" s="2">
        <v>20</v>
      </c>
      <c r="N51" s="2">
        <v>20</v>
      </c>
      <c r="O51" s="2">
        <v>9</v>
      </c>
      <c r="P51" s="2">
        <v>5</v>
      </c>
      <c r="Q51" s="2">
        <v>2</v>
      </c>
      <c r="R51" s="2">
        <v>0</v>
      </c>
    </row>
    <row r="52" spans="1:18">
      <c r="A52" s="2">
        <v>89</v>
      </c>
      <c r="B52" s="2">
        <v>8</v>
      </c>
      <c r="C52" s="2">
        <v>20</v>
      </c>
      <c r="D52" s="2">
        <v>5</v>
      </c>
      <c r="E52" s="2">
        <v>71.8</v>
      </c>
      <c r="F52" s="2">
        <f t="shared" si="2"/>
        <v>480</v>
      </c>
      <c r="G52" s="2">
        <v>80</v>
      </c>
      <c r="H52" s="2">
        <f t="shared" si="0"/>
        <v>8</v>
      </c>
      <c r="I52" s="2">
        <v>2</v>
      </c>
      <c r="J52" s="2">
        <v>2</v>
      </c>
      <c r="K52" s="2">
        <v>10</v>
      </c>
      <c r="L52" s="2">
        <v>10</v>
      </c>
      <c r="M52" s="2">
        <v>20</v>
      </c>
      <c r="N52" s="2">
        <v>20</v>
      </c>
      <c r="O52" s="2">
        <v>9</v>
      </c>
      <c r="P52" s="2">
        <v>5</v>
      </c>
      <c r="Q52" s="2">
        <v>2</v>
      </c>
      <c r="R52" s="2">
        <v>1</v>
      </c>
    </row>
    <row r="53" spans="1:18">
      <c r="A53" s="2">
        <v>102</v>
      </c>
      <c r="B53" s="2">
        <v>8</v>
      </c>
      <c r="C53" s="2">
        <v>20</v>
      </c>
      <c r="D53" s="2">
        <v>37.696800000000003</v>
      </c>
      <c r="E53" s="2">
        <v>71.8</v>
      </c>
      <c r="F53" s="2">
        <f t="shared" si="2"/>
        <v>360</v>
      </c>
      <c r="G53" s="2">
        <v>60</v>
      </c>
      <c r="H53" s="2">
        <f t="shared" si="0"/>
        <v>6</v>
      </c>
      <c r="I53" s="2">
        <v>1</v>
      </c>
      <c r="J53" s="2">
        <v>1</v>
      </c>
      <c r="K53" s="2">
        <v>10</v>
      </c>
      <c r="L53" s="2">
        <v>10</v>
      </c>
      <c r="M53" s="2">
        <v>20</v>
      </c>
      <c r="N53" s="2">
        <v>20</v>
      </c>
      <c r="O53" s="2">
        <v>9</v>
      </c>
      <c r="P53" s="2">
        <v>5</v>
      </c>
      <c r="Q53" s="2">
        <v>2</v>
      </c>
      <c r="R53" s="2">
        <v>4</v>
      </c>
    </row>
    <row r="54" spans="1:18">
      <c r="A54" s="2">
        <v>106</v>
      </c>
      <c r="B54" s="2">
        <v>8</v>
      </c>
      <c r="C54" s="2">
        <v>50</v>
      </c>
      <c r="D54" s="2">
        <v>37.696800000000003</v>
      </c>
      <c r="E54" s="2">
        <v>71.8</v>
      </c>
      <c r="F54" s="2">
        <f t="shared" si="2"/>
        <v>300</v>
      </c>
      <c r="G54" s="2">
        <v>50</v>
      </c>
      <c r="H54" s="2">
        <f t="shared" si="0"/>
        <v>5</v>
      </c>
      <c r="I54" s="2">
        <v>2</v>
      </c>
      <c r="J54" s="2">
        <v>2</v>
      </c>
      <c r="K54" s="2">
        <v>10</v>
      </c>
      <c r="L54" s="2">
        <v>10</v>
      </c>
      <c r="M54" s="2">
        <v>20</v>
      </c>
      <c r="N54" s="2">
        <v>20</v>
      </c>
      <c r="O54" s="2">
        <v>9</v>
      </c>
      <c r="P54" s="2">
        <v>5</v>
      </c>
      <c r="Q54" s="2">
        <v>2</v>
      </c>
      <c r="R5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26</vt:i4>
      </vt:variant>
    </vt:vector>
  </HeadingPairs>
  <TitlesOfParts>
    <vt:vector size="27" baseType="lpstr">
      <vt:lpstr>Ark1</vt:lpstr>
      <vt:lpstr>'Ark1'!IEEE118_Data_Gen_1_1</vt:lpstr>
      <vt:lpstr>'Ark1'!IEEE118_Data_Gen_1_1_1</vt:lpstr>
      <vt:lpstr>'Ark1'!IEEE118_Data_Gen_1_1_1_1</vt:lpstr>
      <vt:lpstr>'Ark1'!IEEE118_Data_Gen_1_1_1_1_1</vt:lpstr>
      <vt:lpstr>'Ark1'!IEEE118_Data_Gen_1_1_1_2</vt:lpstr>
      <vt:lpstr>'Ark1'!IEEE118_Data_Gen_1_1_1_2_1</vt:lpstr>
      <vt:lpstr>'Ark1'!IEEE118_Data_Gen_1_1_1_3</vt:lpstr>
      <vt:lpstr>'Ark1'!IEEE118_Data_Gen_1_1_2</vt:lpstr>
      <vt:lpstr>'Ark1'!IEEE118_Data_Gen_1_1_2_1</vt:lpstr>
      <vt:lpstr>'Ark1'!IEEE118_Data_Gen_1_1_2_1_1</vt:lpstr>
      <vt:lpstr>'Ark1'!IEEE118_Data_Gen_1_1_2_2</vt:lpstr>
      <vt:lpstr>'Ark1'!IEEE118_Data_Gen_1_1_2_2_1</vt:lpstr>
      <vt:lpstr>'Ark1'!IEEE118_Data_Gen_1_1_2_3</vt:lpstr>
      <vt:lpstr>'Ark1'!IEEE118_Data_Gen_1_1_3</vt:lpstr>
      <vt:lpstr>'Ark1'!IEEE118_Data_Gen_1_1_3_1</vt:lpstr>
      <vt:lpstr>'Ark1'!IEEE118_Data_Gen_1_1_4</vt:lpstr>
      <vt:lpstr>'Ark1'!IEEE118_Data_Gen_1_2</vt:lpstr>
      <vt:lpstr>'Ark1'!IEEE118_Data_Gen_1_2_1</vt:lpstr>
      <vt:lpstr>'Ark1'!IEEE118_Data_Gen_1_2_1_1</vt:lpstr>
      <vt:lpstr>'Ark1'!IEEE118_Data_Gen_1_2_2</vt:lpstr>
      <vt:lpstr>'Ark1'!IEEE118_Data_Gen_1_2_2_1</vt:lpstr>
      <vt:lpstr>'Ark1'!IEEE118_Data_Gen_1_2_3</vt:lpstr>
      <vt:lpstr>'Ark1'!IEEE118_Data_Gen_1_3</vt:lpstr>
      <vt:lpstr>'Ark1'!IEEE118_Data_Gen_1_3_1</vt:lpstr>
      <vt:lpstr>'Ark1'!IEEE118_Data_Gen_1_4</vt:lpstr>
      <vt:lpstr>'Ark1'!IEEE118_Data_Gen_1_4_1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Qiu</dc:creator>
  <cp:lastModifiedBy>Caroline Qiu</cp:lastModifiedBy>
  <dcterms:created xsi:type="dcterms:W3CDTF">2026-03-06T14:52:46Z</dcterms:created>
  <dcterms:modified xsi:type="dcterms:W3CDTF">2026-05-20T15:58:28Z</dcterms:modified>
</cp:coreProperties>
</file>